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61435\Desktop\Honours\Honours 2026\"/>
    </mc:Choice>
  </mc:AlternateContent>
  <xr:revisionPtr revIDLastSave="0" documentId="13_ncr:1_{670D4E29-1400-4F5C-918F-EEBE035D4136}" xr6:coauthVersionLast="47" xr6:coauthVersionMax="47" xr10:uidLastSave="{00000000-0000-0000-0000-000000000000}"/>
  <bookViews>
    <workbookView xWindow="1560" yWindow="480" windowWidth="26175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</calcChain>
</file>

<file path=xl/sharedStrings.xml><?xml version="1.0" encoding="utf-8"?>
<sst xmlns="http://schemas.openxmlformats.org/spreadsheetml/2006/main" count="24" uniqueCount="16">
  <si>
    <t>Treatment</t>
  </si>
  <si>
    <t>mussel.Id</t>
  </si>
  <si>
    <t>mussel.Weight</t>
  </si>
  <si>
    <t>Mussel.length</t>
  </si>
  <si>
    <t>mussel.height</t>
  </si>
  <si>
    <t>mussel.width</t>
  </si>
  <si>
    <t>hour.zero</t>
  </si>
  <si>
    <t>hour.one</t>
  </si>
  <si>
    <t>hour.two</t>
  </si>
  <si>
    <t>final.three</t>
  </si>
  <si>
    <t>volume</t>
  </si>
  <si>
    <t>time</t>
  </si>
  <si>
    <t>Low</t>
  </si>
  <si>
    <t>Medium</t>
  </si>
  <si>
    <t>High</t>
  </si>
  <si>
    <t>Highest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</si>
</sst>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I24" sqref="I2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3361</v>
      </c>
      <c r="C2">
        <v>5.22</v>
      </c>
      <c r="D2">
        <v>3.5</v>
      </c>
      <c r="E2">
        <v>2</v>
      </c>
      <c r="F2">
        <v>1.2</v>
      </c>
      <c r="G2">
        <f>7.0833*10^4</f>
        <v>70833</v>
      </c>
      <c r="H2">
        <f>9.0833*10^4</f>
        <v>90833</v>
      </c>
      <c r="I2">
        <f>3.9167*10^4</f>
        <v>39167</v>
      </c>
      <c r="J2">
        <f>1.1667*10^4</f>
        <v>11667</v>
      </c>
      <c r="K2">
        <v>900</v>
      </c>
      <c r="L2">
        <v>3</v>
      </c>
    </row>
    <row r="3" spans="1:12" x14ac:dyDescent="0.25">
      <c r="A3" t="s">
        <v>12</v>
      </c>
      <c r="B3">
        <v>3349</v>
      </c>
      <c r="C3">
        <v>7.64</v>
      </c>
      <c r="D3">
        <v>4.0999999999999996</v>
      </c>
      <c r="E3">
        <v>2.4</v>
      </c>
      <c r="F3">
        <v>1.3</v>
      </c>
      <c r="G3">
        <f>6*10^4</f>
        <v>60000</v>
      </c>
      <c r="H3">
        <f>2*10^4</f>
        <v>20000</v>
      </c>
      <c r="I3">
        <f>2*10^4</f>
        <v>20000</v>
      </c>
      <c r="J3">
        <f>2*10^4</f>
        <v>20000</v>
      </c>
      <c r="K3">
        <v>900</v>
      </c>
      <c r="L3">
        <v>3</v>
      </c>
    </row>
    <row r="4" spans="1:12" x14ac:dyDescent="0.25">
      <c r="A4" t="s">
        <v>12</v>
      </c>
      <c r="B4">
        <v>3352</v>
      </c>
      <c r="C4">
        <v>11.65</v>
      </c>
      <c r="D4">
        <v>4.4000000000000004</v>
      </c>
      <c r="E4">
        <v>2.5</v>
      </c>
      <c r="F4">
        <v>1.6</v>
      </c>
      <c r="G4">
        <f>4.8333*10^4</f>
        <v>48333.000000000007</v>
      </c>
      <c r="H4">
        <f>2.5833*10^4</f>
        <v>25833</v>
      </c>
      <c r="I4">
        <f>0.8333*10^4</f>
        <v>8333</v>
      </c>
      <c r="J4">
        <f>0.5*10^4</f>
        <v>5000</v>
      </c>
      <c r="K4">
        <v>900</v>
      </c>
      <c r="L4">
        <v>3</v>
      </c>
    </row>
    <row r="5" spans="1:12" x14ac:dyDescent="0.25">
      <c r="A5" t="s">
        <v>13</v>
      </c>
      <c r="B5">
        <v>3340</v>
      </c>
      <c r="C5">
        <v>5.34</v>
      </c>
      <c r="D5">
        <v>3.4</v>
      </c>
      <c r="E5">
        <v>2.1</v>
      </c>
      <c r="F5">
        <v>1.1000000000000001</v>
      </c>
      <c r="G5">
        <f>11.4167*10^4</f>
        <v>114167</v>
      </c>
      <c r="H5">
        <f>4.4167*10^4</f>
        <v>44166.999999999993</v>
      </c>
      <c r="I5">
        <f>4.6667*10^4</f>
        <v>46666.999999999993</v>
      </c>
      <c r="J5">
        <f>1.8333*10^4</f>
        <v>18333</v>
      </c>
      <c r="K5">
        <v>900</v>
      </c>
      <c r="L5">
        <v>3</v>
      </c>
    </row>
    <row r="6" spans="1:12" x14ac:dyDescent="0.25">
      <c r="A6" t="s">
        <v>13</v>
      </c>
      <c r="B6">
        <v>3353</v>
      </c>
      <c r="C6">
        <v>7.42</v>
      </c>
      <c r="D6">
        <v>3.7</v>
      </c>
      <c r="E6">
        <v>2.2000000000000002</v>
      </c>
      <c r="F6">
        <v>1.3</v>
      </c>
      <c r="G6">
        <f>14.8333*10^4</f>
        <v>148333</v>
      </c>
      <c r="H6">
        <f>4.75*10^4</f>
        <v>47500</v>
      </c>
      <c r="I6">
        <f>1.5*10^4</f>
        <v>15000</v>
      </c>
      <c r="J6">
        <f>2.1667*10^4</f>
        <v>21667</v>
      </c>
      <c r="K6">
        <v>900</v>
      </c>
      <c r="L6">
        <v>3</v>
      </c>
    </row>
    <row r="7" spans="1:12" x14ac:dyDescent="0.25">
      <c r="A7" t="s">
        <v>13</v>
      </c>
      <c r="B7">
        <v>3357</v>
      </c>
      <c r="C7">
        <v>11.56</v>
      </c>
      <c r="D7">
        <v>4.4000000000000004</v>
      </c>
      <c r="E7">
        <v>2.7</v>
      </c>
      <c r="F7">
        <v>1.5</v>
      </c>
      <c r="G7">
        <f>13.5833*10^4</f>
        <v>135833</v>
      </c>
      <c r="H7">
        <f>5.3333*10^4</f>
        <v>53333.000000000007</v>
      </c>
      <c r="I7">
        <f>2.4167*10^4</f>
        <v>24167</v>
      </c>
      <c r="J7">
        <f>0.6667*10^4</f>
        <v>6667</v>
      </c>
      <c r="K7">
        <v>900</v>
      </c>
      <c r="L7">
        <v>3</v>
      </c>
    </row>
    <row r="8" spans="1:12" x14ac:dyDescent="0.25">
      <c r="A8" t="s">
        <v>14</v>
      </c>
      <c r="B8">
        <v>3363</v>
      </c>
      <c r="C8">
        <v>7.1</v>
      </c>
      <c r="D8">
        <v>3.7</v>
      </c>
      <c r="E8">
        <v>2.2000000000000002</v>
      </c>
      <c r="F8">
        <v>1.4</v>
      </c>
      <c r="G8">
        <f>17.8333*10^4</f>
        <v>178333</v>
      </c>
      <c r="H8">
        <f>5.5833*10^4</f>
        <v>55833.000000000007</v>
      </c>
      <c r="I8">
        <f>2.25*10^4</f>
        <v>22500</v>
      </c>
      <c r="J8">
        <f>1.1667*10^4</f>
        <v>11667</v>
      </c>
      <c r="K8">
        <v>900</v>
      </c>
      <c r="L8">
        <v>3</v>
      </c>
    </row>
    <row r="9" spans="1:12" x14ac:dyDescent="0.25">
      <c r="A9" t="s">
        <v>14</v>
      </c>
      <c r="B9">
        <v>3341</v>
      </c>
      <c r="C9">
        <v>10.42</v>
      </c>
      <c r="D9">
        <v>4</v>
      </c>
      <c r="E9">
        <v>2.4</v>
      </c>
      <c r="F9">
        <v>1.5</v>
      </c>
      <c r="G9">
        <f>18.5833*10^4</f>
        <v>185833</v>
      </c>
      <c r="H9">
        <f>11.1667*10^4</f>
        <v>111667</v>
      </c>
      <c r="I9">
        <f>3*10^4</f>
        <v>30000</v>
      </c>
      <c r="J9">
        <f>0.8333*10^4</f>
        <v>8333</v>
      </c>
      <c r="K9">
        <v>900</v>
      </c>
      <c r="L9">
        <v>3</v>
      </c>
    </row>
    <row r="10" spans="1:12" x14ac:dyDescent="0.25">
      <c r="A10" t="s">
        <v>14</v>
      </c>
      <c r="B10">
        <v>3346</v>
      </c>
      <c r="C10">
        <v>5.84</v>
      </c>
      <c r="D10">
        <v>3.7</v>
      </c>
      <c r="E10">
        <v>2.1</v>
      </c>
      <c r="F10">
        <v>1.2</v>
      </c>
      <c r="G10">
        <f>15.5833*10^4</f>
        <v>155833</v>
      </c>
      <c r="H10">
        <f>10*10^4</f>
        <v>100000</v>
      </c>
      <c r="I10">
        <f>3.9167*10^4</f>
        <v>39167</v>
      </c>
      <c r="J10">
        <f>2.1667*10^4</f>
        <v>21667</v>
      </c>
      <c r="K10">
        <v>900</v>
      </c>
      <c r="L10">
        <v>3</v>
      </c>
    </row>
    <row r="11" spans="1:12" x14ac:dyDescent="0.25">
      <c r="A11" t="s">
        <v>15</v>
      </c>
      <c r="B11">
        <v>3348</v>
      </c>
      <c r="C11">
        <v>7.05</v>
      </c>
      <c r="D11">
        <v>3.8</v>
      </c>
      <c r="E11">
        <v>2.2000000000000002</v>
      </c>
      <c r="F11">
        <v>1.3</v>
      </c>
      <c r="G11">
        <f>21.5*10^4</f>
        <v>215000</v>
      </c>
      <c r="H11">
        <f>7.5833*10^4</f>
        <v>75833</v>
      </c>
      <c r="I11">
        <f>6.1667*10^4</f>
        <v>61666.999999999993</v>
      </c>
      <c r="J11">
        <f>2*10^4</f>
        <v>20000</v>
      </c>
      <c r="K11">
        <v>900</v>
      </c>
      <c r="L11">
        <v>3</v>
      </c>
    </row>
    <row r="12" spans="1:12" x14ac:dyDescent="0.25">
      <c r="A12" t="s">
        <v>15</v>
      </c>
      <c r="B12">
        <v>3338</v>
      </c>
      <c r="C12">
        <v>10.52</v>
      </c>
      <c r="D12">
        <v>4.4000000000000004</v>
      </c>
      <c r="E12">
        <v>2.4</v>
      </c>
      <c r="F12">
        <v>1.5</v>
      </c>
      <c r="G12">
        <f>18.6667*10^4</f>
        <v>186667</v>
      </c>
      <c r="H12">
        <f>12.0833*10^4</f>
        <v>120833</v>
      </c>
      <c r="I12">
        <f>3.3333*10^4</f>
        <v>33333</v>
      </c>
      <c r="J12">
        <f>0.6667*10^4</f>
        <v>6667</v>
      </c>
      <c r="K12">
        <v>900</v>
      </c>
      <c r="L12">
        <v>3</v>
      </c>
    </row>
    <row r="13" spans="1:12" x14ac:dyDescent="0.25">
      <c r="A13" t="s">
        <v>15</v>
      </c>
      <c r="B13">
        <v>3362</v>
      </c>
      <c r="C13">
        <v>5.36</v>
      </c>
      <c r="D13">
        <v>3.5</v>
      </c>
      <c r="E13">
        <v>2.1</v>
      </c>
      <c r="F13">
        <v>1.1000000000000001</v>
      </c>
      <c r="G13">
        <f>24.1667*10^4</f>
        <v>241667</v>
      </c>
      <c r="H13">
        <f>7.9167*10^4</f>
        <v>79167</v>
      </c>
      <c r="I13">
        <f>1.3333*10^4</f>
        <v>13333</v>
      </c>
      <c r="J13">
        <f>1*10^4</f>
        <v>10000</v>
      </c>
      <c r="K13">
        <v>900</v>
      </c>
      <c r="L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Weston Tabone</dc:creator>
  <cp:lastModifiedBy>Weston Tabone</cp:lastModifiedBy>
  <dcterms:created xsi:type="dcterms:W3CDTF">2015-06-05T18:17:20Z</dcterms:created>
  <dcterms:modified xsi:type="dcterms:W3CDTF">2026-06-29T13:59:04Z</dcterms:modified>
</cp:coreProperties>
</file>